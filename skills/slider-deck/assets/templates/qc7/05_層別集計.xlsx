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層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001F4E79"/>
      <sz val="16"/>
    </font>
    <font>
      <name val="Meiryo UI"/>
      <color rgb="00333333"/>
      <sz val="10"/>
    </font>
    <font>
      <name val="Meiryo UI"/>
      <b val="1"/>
      <color rgb="00C00000"/>
      <sz val="10"/>
    </font>
    <font>
      <name val="Meiryo UI"/>
      <b val="1"/>
      <color rgb="00FFFFFF"/>
      <sz val="10"/>
    </font>
    <font>
      <name val="Meiryo UI"/>
      <b val="1"/>
      <color rgb="001F4E79"/>
      <sz val="10"/>
    </font>
    <font>
      <name val="Meiryo UI"/>
      <color rgb="00333333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5" fillId="0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層別ごとの不良率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'層別'!F5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noFill/>
              <a:prstDash val="solid"/>
            </a:ln>
          </spPr>
          <cat>
            <numRef>
              <f>'層別'!$C$6:$C$15</f>
            </numRef>
          </cat>
          <val>
            <numRef>
              <f>'層別'!$F$6:$F$15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4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不良率(%)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crossAx val="10"/>
      </valAx>
    </plotArea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>
          <a:latin typeface="Verdana"/>
          <a:ea typeface="Meiryo UI"/>
          <a:cs typeface="Verdana"/>
        </a:defRPr>
      </a:pPr>
      <a:endParaRPr lang="ja-JP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s="1" t="inlineStr">
        <is>
          <t>層別（条件で分けて差を見る）</t>
        </is>
      </c>
    </row>
    <row r="2">
      <c r="A2" s="2" t="inlineStr">
        <is>
          <t>同じデータを条件で分け、どの条件に問題が集中しているかを見る。</t>
        </is>
      </c>
    </row>
    <row r="3">
      <c r="A3" s="3" t="inlineStr">
        <is>
          <t>必要件数： 1水準あたり最低10件、望ましくは30件以上</t>
        </is>
      </c>
    </row>
    <row r="5">
      <c r="B5" s="4" t="inlineStr">
        <is>
          <t>層別キー</t>
        </is>
      </c>
      <c r="C5" s="4" t="inlineStr">
        <is>
          <t>水準</t>
        </is>
      </c>
      <c r="D5" s="4" t="inlineStr">
        <is>
          <t>生産数</t>
        </is>
      </c>
      <c r="E5" s="4" t="inlineStr">
        <is>
          <t>不良数</t>
        </is>
      </c>
      <c r="F5" s="4" t="inlineStr">
        <is>
          <t>不良率(%)</t>
        </is>
      </c>
      <c r="G5" s="4" t="inlineStr">
        <is>
          <t>件数は十分か</t>
        </is>
      </c>
    </row>
    <row r="6">
      <c r="B6" s="5" t="inlineStr">
        <is>
          <t>設備(Machine)</t>
        </is>
      </c>
      <c r="C6" s="6" t="inlineStr">
        <is>
          <t>1号機</t>
        </is>
      </c>
      <c r="D6" s="6" t="n">
        <v>4200</v>
      </c>
      <c r="E6" s="6" t="n">
        <v>63</v>
      </c>
      <c r="F6" s="7">
        <f>IF(D6=0,"",ROUND(E6/D6*100,2))</f>
        <v/>
      </c>
      <c r="G6" s="7">
        <f>IF(D6&gt;=30,"OK","件数不足")</f>
        <v/>
      </c>
    </row>
    <row r="7">
      <c r="B7" s="5" t="inlineStr">
        <is>
          <t>設備(Machine)</t>
        </is>
      </c>
      <c r="C7" s="6" t="inlineStr">
        <is>
          <t>2号機</t>
        </is>
      </c>
      <c r="D7" s="6" t="n">
        <v>4100</v>
      </c>
      <c r="E7" s="6" t="n">
        <v>41</v>
      </c>
      <c r="F7" s="7">
        <f>IF(D7=0,"",ROUND(E7/D7*100,2))</f>
        <v/>
      </c>
      <c r="G7" s="7">
        <f>IF(D7&gt;=30,"OK","件数不足")</f>
        <v/>
      </c>
    </row>
    <row r="8">
      <c r="B8" s="5" t="inlineStr">
        <is>
          <t>設備(Machine)</t>
        </is>
      </c>
      <c r="C8" s="6" t="inlineStr">
        <is>
          <t>3号機</t>
        </is>
      </c>
      <c r="D8" s="6" t="n">
        <v>3900</v>
      </c>
      <c r="E8" s="6" t="n">
        <v>128</v>
      </c>
      <c r="F8" s="7">
        <f>IF(D8=0,"",ROUND(E8/D8*100,2))</f>
        <v/>
      </c>
      <c r="G8" s="7">
        <f>IF(D8&gt;=30,"OK","件数不足")</f>
        <v/>
      </c>
    </row>
    <row r="9">
      <c r="B9" s="5" t="inlineStr">
        <is>
          <t>作業者(Man)</t>
        </is>
      </c>
      <c r="C9" s="6" t="inlineStr">
        <is>
          <t>Aさん</t>
        </is>
      </c>
      <c r="D9" s="6" t="n">
        <v>4050</v>
      </c>
      <c r="E9" s="6" t="n">
        <v>58</v>
      </c>
      <c r="F9" s="7">
        <f>IF(D9=0,"",ROUND(E9/D9*100,2))</f>
        <v/>
      </c>
      <c r="G9" s="7">
        <f>IF(D9&gt;=30,"OK","件数不足")</f>
        <v/>
      </c>
    </row>
    <row r="10">
      <c r="B10" s="5" t="inlineStr">
        <is>
          <t>作業者(Man)</t>
        </is>
      </c>
      <c r="C10" s="6" t="inlineStr">
        <is>
          <t>Bさん</t>
        </is>
      </c>
      <c r="D10" s="6" t="n">
        <v>4080</v>
      </c>
      <c r="E10" s="6" t="n">
        <v>61</v>
      </c>
      <c r="F10" s="7">
        <f>IF(D10=0,"",ROUND(E10/D10*100,2))</f>
        <v/>
      </c>
      <c r="G10" s="7">
        <f>IF(D10&gt;=30,"OK","件数不足")</f>
        <v/>
      </c>
    </row>
    <row r="11">
      <c r="B11" s="5" t="inlineStr">
        <is>
          <t>作業者(Man)</t>
        </is>
      </c>
      <c r="C11" s="6" t="inlineStr">
        <is>
          <t>Cさん</t>
        </is>
      </c>
      <c r="D11" s="6" t="n">
        <v>4070</v>
      </c>
      <c r="E11" s="6" t="n">
        <v>113</v>
      </c>
      <c r="F11" s="7">
        <f>IF(D11=0,"",ROUND(E11/D11*100,2))</f>
        <v/>
      </c>
      <c r="G11" s="7">
        <f>IF(D11&gt;=30,"OK","件数不足")</f>
        <v/>
      </c>
    </row>
    <row r="12">
      <c r="B12" s="5" t="inlineStr">
        <is>
          <t>材料ロット(Material)</t>
        </is>
      </c>
      <c r="C12" s="6" t="inlineStr">
        <is>
          <t>L-101</t>
        </is>
      </c>
      <c r="D12" s="6" t="n">
        <v>6100</v>
      </c>
      <c r="E12" s="6" t="n">
        <v>92</v>
      </c>
      <c r="F12" s="7">
        <f>IF(D12=0,"",ROUND(E12/D12*100,2))</f>
        <v/>
      </c>
      <c r="G12" s="7">
        <f>IF(D12&gt;=30,"OK","件数不足")</f>
        <v/>
      </c>
    </row>
    <row r="13">
      <c r="B13" s="5" t="inlineStr">
        <is>
          <t>材料ロット(Material)</t>
        </is>
      </c>
      <c r="C13" s="6" t="inlineStr">
        <is>
          <t>L-102</t>
        </is>
      </c>
      <c r="D13" s="6" t="n">
        <v>6100</v>
      </c>
      <c r="E13" s="6" t="n">
        <v>140</v>
      </c>
      <c r="F13" s="7">
        <f>IF(D13=0,"",ROUND(E13/D13*100,2))</f>
        <v/>
      </c>
      <c r="G13" s="7">
        <f>IF(D13&gt;=30,"OK","件数不足")</f>
        <v/>
      </c>
    </row>
    <row r="14">
      <c r="B14" s="5" t="inlineStr">
        <is>
          <t>時間帯(Method)</t>
        </is>
      </c>
      <c r="C14" s="6" t="inlineStr">
        <is>
          <t>昼勤</t>
        </is>
      </c>
      <c r="D14" s="6" t="n">
        <v>8200</v>
      </c>
      <c r="E14" s="6" t="n">
        <v>98</v>
      </c>
      <c r="F14" s="7">
        <f>IF(D14=0,"",ROUND(E14/D14*100,2))</f>
        <v/>
      </c>
      <c r="G14" s="7">
        <f>IF(D14&gt;=30,"OK","件数不足")</f>
        <v/>
      </c>
    </row>
    <row r="15">
      <c r="B15" s="5" t="inlineStr">
        <is>
          <t>時間帯(Method)</t>
        </is>
      </c>
      <c r="C15" s="6" t="inlineStr">
        <is>
          <t>夜勤</t>
        </is>
      </c>
      <c r="D15" s="6" t="n">
        <v>4000</v>
      </c>
      <c r="E15" s="6" t="n">
        <v>134</v>
      </c>
      <c r="F15" s="7">
        <f>IF(D15=0,"",ROUND(E15/D15*100,2))</f>
        <v/>
      </c>
      <c r="G15" s="7">
        <f>IF(D15&gt;=30,"OK","件数不足")</f>
        <v/>
      </c>
    </row>
    <row r="17">
      <c r="B17" s="8" t="inlineStr">
        <is>
          <t>使い方と注意</t>
        </is>
      </c>
    </row>
    <row r="18">
      <c r="B18" s="9" t="inlineStr">
        <is>
          <t>・4M（人・機械・材料・方法）が基本の軸。まず4つ全部で切ってから、差が出た軸を深掘る</t>
        </is>
      </c>
    </row>
    <row r="19">
      <c r="B19" s="9" t="inlineStr">
        <is>
          <t>・層別できないのは、記録時に層別キーを取っていないから。取得設計からやり直す</t>
        </is>
      </c>
    </row>
    <row r="20">
      <c r="B20" s="9" t="inlineStr">
        <is>
          <t>・どの層でも差が出ないなら、キーの選び方が的外れ。別の軸を試す</t>
        </is>
      </c>
    </row>
    <row r="21">
      <c r="B21" s="9" t="inlineStr">
        <is>
          <t>・件数（分母）が違う層を、件数のまま比べない。必ず率に直す</t>
        </is>
      </c>
    </row>
    <row r="22">
      <c r="B22" s="9" t="inlineStr">
        <is>
          <t>・1水準10件未満の層は判断に使わない。偶然の差が大きく出る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2026-09-14T05:50:59Z</dcterms:created>
  <dcterms:modified xmlns:dcterms="http://purl.org/dc/terms/" xmlns:xsi="http://www.w3.org/2001/XMLSchema-instance" xsi:type="dcterms:W3CDTF">2026-09-14T05:50:59Z</dcterms:modified>
</cp:coreProperties>
</file>